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Summary" sheetId="1" state="visible" r:id="rId1"/>
    <sheet xmlns:r="http://schemas.openxmlformats.org/officeDocument/2006/relationships" name="Rate Wor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8"/>
    </font>
    <font>
      <b val="1"/>
      <sz val="9"/>
    </font>
    <font>
      <sz val="9"/>
    </font>
    <font>
      <b val="1"/>
      <color rgb="00C00000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6" fillId="2" borderId="1" applyAlignment="1" pivotButton="0" quotePrefix="0" xfId="0">
      <alignment horizontal="center" wrapText="1"/>
    </xf>
    <xf numFmtId="164" fontId="4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12" customWidth="1" min="4" max="4"/>
  </cols>
  <sheetData>
    <row r="1">
      <c r="A1" s="1" t="inlineStr">
        <is>
          <t>SHAKTI PACKAGING PVT LTD</t>
        </is>
      </c>
    </row>
    <row r="2">
      <c r="A2" s="2" t="inlineStr">
        <is>
          <t>Plot 44, MIDC Bhiwandi, Thane 421302  |  GSTIN 27AAFCS4471K1ZP</t>
        </is>
      </c>
    </row>
    <row r="4">
      <c r="A4" s="3" t="inlineStr">
        <is>
          <t>Quotation ref</t>
        </is>
      </c>
      <c r="B4" s="4" t="inlineStr">
        <is>
          <t>SPPL/QT/2026-27/0318</t>
        </is>
      </c>
    </row>
    <row r="5">
      <c r="A5" s="3" t="inlineStr">
        <is>
          <t>Against enquiry</t>
        </is>
      </c>
      <c r="B5" s="4" t="inlineStr">
        <is>
          <t>RFX-2026-CORR-011</t>
        </is>
      </c>
    </row>
    <row r="6">
      <c r="A6" s="3" t="inlineStr">
        <is>
          <t>Date</t>
        </is>
      </c>
      <c r="B6" s="4" t="inlineStr">
        <is>
          <t>01-Sep-2026</t>
        </is>
      </c>
    </row>
    <row r="7">
      <c r="A7" s="3" t="inlineStr">
        <is>
          <t>Validity</t>
        </is>
      </c>
      <c r="B7" s="4" t="inlineStr">
        <is>
          <t>15 days from date of quotation</t>
        </is>
      </c>
    </row>
    <row r="8">
      <c r="A8" s="3" t="inlineStr">
        <is>
          <t>Terms</t>
        </is>
      </c>
      <c r="B8" s="4" t="inlineStr">
        <is>
          <t>Ex-works Bhiwandi. GST 18% extra. Payment 30 days.</t>
        </is>
      </c>
    </row>
    <row r="9">
      <c r="A9" s="3" t="inlineStr">
        <is>
          <t>Note</t>
        </is>
      </c>
      <c r="B9" s="4" t="inlineStr">
        <is>
          <t>Die charges for die-cut items are included in the unit rate.</t>
        </is>
      </c>
    </row>
    <row r="11">
      <c r="A11" s="5" t="inlineStr">
        <is>
          <t>SUMMARY OF RATES (indicative - refer 'Rate Working' sheet for final rates)</t>
        </is>
      </c>
    </row>
    <row r="12">
      <c r="A12" s="6" t="inlineStr">
        <is>
          <t>Sr</t>
        </is>
      </c>
      <c r="B12" s="6" t="inlineStr">
        <is>
          <t>Item</t>
        </is>
      </c>
      <c r="C12" s="6" t="inlineStr">
        <is>
          <t>Qty p.a.</t>
        </is>
      </c>
      <c r="D12" s="6" t="inlineStr">
        <is>
          <t>Rate</t>
        </is>
      </c>
    </row>
    <row r="13">
      <c r="A13" s="7" t="n">
        <v>1</v>
      </c>
      <c r="B13" s="7" t="inlineStr">
        <is>
          <t>3 Ply RSC 300x200x150</t>
        </is>
      </c>
      <c r="C13" s="7" t="n">
        <v>240000</v>
      </c>
      <c r="D13" s="8" t="n">
        <v>10.17</v>
      </c>
    </row>
    <row r="14">
      <c r="A14" s="7" t="n">
        <v>2</v>
      </c>
      <c r="B14" s="7" t="inlineStr">
        <is>
          <t>3 Ply RSC 350x250x200 1col</t>
        </is>
      </c>
      <c r="C14" s="7" t="n">
        <v>180000</v>
      </c>
      <c r="D14" s="8" t="n">
        <v>15.45</v>
      </c>
    </row>
    <row r="15">
      <c r="A15" s="7" t="n">
        <v>3</v>
      </c>
      <c r="B15" s="7" t="inlineStr">
        <is>
          <t>3 Ply RSC 250x200x120</t>
        </is>
      </c>
      <c r="C15" s="7" t="n">
        <v>300000</v>
      </c>
      <c r="D15" s="8" t="n">
        <v>7.7</v>
      </c>
    </row>
    <row r="16">
      <c r="A16" s="7" t="n">
        <v>4</v>
      </c>
      <c r="B16" s="7" t="inlineStr">
        <is>
          <t>3 Ply RSC 400x300x200 2col</t>
        </is>
      </c>
      <c r="C16" s="7" t="n">
        <v>150000</v>
      </c>
      <c r="D16" s="8" t="n">
        <v>22.45</v>
      </c>
    </row>
    <row r="17">
      <c r="A17" s="7" t="n">
        <v>5</v>
      </c>
      <c r="B17" s="7" t="inlineStr">
        <is>
          <t>3 Ply RSC 320x240x180</t>
        </is>
      </c>
      <c r="C17" s="7" t="n">
        <v>96000</v>
      </c>
      <c r="D17" s="8" t="n">
        <v>12.45</v>
      </c>
    </row>
    <row r="18">
      <c r="A18" s="7" t="n">
        <v>6</v>
      </c>
      <c r="B18" s="7" t="inlineStr">
        <is>
          <t>5 Ply RSC 450x350x300 2col</t>
        </is>
      </c>
      <c r="C18" s="7" t="n">
        <v>120000</v>
      </c>
      <c r="D18" s="8" t="n">
        <v>56.36</v>
      </c>
    </row>
    <row r="19">
      <c r="A19" s="7" t="n">
        <v>7</v>
      </c>
      <c r="B19" s="7" t="inlineStr">
        <is>
          <t>5 Ply RSC 500x400x350 2col</t>
        </is>
      </c>
      <c r="C19" s="7" t="n">
        <v>84000</v>
      </c>
      <c r="D19" s="8" t="n">
        <v>72.5</v>
      </c>
    </row>
    <row r="20">
      <c r="A20" s="7" t="n">
        <v>8</v>
      </c>
      <c r="B20" s="7" t="inlineStr">
        <is>
          <t>5 Ply RSC 400x300x250 1col</t>
        </is>
      </c>
      <c r="C20" s="7" t="n">
        <v>132000</v>
      </c>
      <c r="D20" s="8" t="n">
        <v>38.92</v>
      </c>
    </row>
    <row r="21">
      <c r="A21" s="7" t="n">
        <v>9</v>
      </c>
      <c r="B21" s="7" t="inlineStr">
        <is>
          <t>5 Ply RSC 600x400x400</t>
        </is>
      </c>
      <c r="C21" s="7" t="n">
        <v>60000</v>
      </c>
      <c r="D21" s="8" t="n">
        <v>72.88</v>
      </c>
    </row>
    <row r="22">
      <c r="A22" s="7" t="n">
        <v>10</v>
      </c>
      <c r="B22" s="7" t="inlineStr">
        <is>
          <t>5 Ply RSC 380x280x220</t>
        </is>
      </c>
      <c r="C22" s="7" t="n">
        <v>108000</v>
      </c>
      <c r="D22" s="8" t="n">
        <v>32.09</v>
      </c>
    </row>
    <row r="23">
      <c r="A23" s="7" t="n">
        <v>11</v>
      </c>
      <c r="B23" s="7" t="inlineStr">
        <is>
          <t>5 Ply RSC 550x380x320 2col</t>
        </is>
      </c>
      <c r="C23" s="7" t="n">
        <v>72000</v>
      </c>
      <c r="D23" s="8" t="n">
        <v>69.27</v>
      </c>
    </row>
    <row r="24">
      <c r="A24" s="7" t="n">
        <v>12</v>
      </c>
      <c r="B24" s="7" t="inlineStr">
        <is>
          <t>5 Ply RSC 300x300x300</t>
        </is>
      </c>
      <c r="C24" s="7" t="n">
        <v>90000</v>
      </c>
      <c r="D24" s="8" t="n">
        <v>37.45</v>
      </c>
    </row>
    <row r="25">
      <c r="A25" s="7" t="n">
        <v>13</v>
      </c>
      <c r="B25" s="7" t="inlineStr">
        <is>
          <t>5 Ply RSC 480x320x280 1col</t>
        </is>
      </c>
      <c r="C25" s="7" t="n">
        <v>66000</v>
      </c>
      <c r="D25" s="8" t="n">
        <v>48.7</v>
      </c>
    </row>
    <row r="26">
      <c r="A26" s="7" t="n">
        <v>14</v>
      </c>
      <c r="B26" s="7" t="inlineStr">
        <is>
          <t>5 Ply RSC 420x320x260 2col</t>
        </is>
      </c>
      <c r="C26" s="7" t="n">
        <v>144000</v>
      </c>
      <c r="D26" s="8" t="n">
        <v>45.43</v>
      </c>
    </row>
    <row r="27">
      <c r="A27" s="7" t="n">
        <v>15</v>
      </c>
      <c r="B27" s="7" t="inlineStr">
        <is>
          <t>5 Ply RSC 650x450x450</t>
        </is>
      </c>
      <c r="C27" s="7" t="n">
        <v>48000</v>
      </c>
      <c r="D27" s="8" t="n">
        <v>105.64</v>
      </c>
    </row>
    <row r="28">
      <c r="A28" s="7" t="n">
        <v>16</v>
      </c>
      <c r="B28" s="7" t="inlineStr">
        <is>
          <t>7 Ply RSC 600x400x400 2col</t>
        </is>
      </c>
      <c r="C28" s="7" t="n">
        <v>36000</v>
      </c>
      <c r="D28" s="8" t="n">
        <v>135.53</v>
      </c>
    </row>
    <row r="29">
      <c r="A29" s="7" t="n">
        <v>17</v>
      </c>
      <c r="B29" s="7" t="inlineStr">
        <is>
          <t>7 Ply RSC 700x500x450 1col</t>
        </is>
      </c>
      <c r="C29" s="7" t="n">
        <v>24000</v>
      </c>
      <c r="D29" s="8" t="n">
        <v>182.62</v>
      </c>
    </row>
    <row r="30">
      <c r="A30" s="7" t="n">
        <v>18</v>
      </c>
      <c r="B30" s="7" t="inlineStr">
        <is>
          <t>7 Ply RSC 550x450x400</t>
        </is>
      </c>
      <c r="C30" s="7" t="n">
        <v>30000</v>
      </c>
      <c r="D30" s="8" t="n">
        <v>138.5</v>
      </c>
    </row>
    <row r="31">
      <c r="A31" s="7" t="n">
        <v>19</v>
      </c>
      <c r="B31" s="7" t="inlineStr">
        <is>
          <t>3 Ply Mailer 250x180x80 2col</t>
        </is>
      </c>
      <c r="C31" s="7" t="n">
        <v>60000</v>
      </c>
      <c r="D31" s="8" t="n">
        <v>16.09</v>
      </c>
    </row>
    <row r="32">
      <c r="A32" s="7" t="n">
        <v>20</v>
      </c>
      <c r="B32" s="7" t="inlineStr">
        <is>
          <t>3 Ply Mailer 300x220x100 2col</t>
        </is>
      </c>
      <c r="C32" s="7" t="n">
        <v>45000</v>
      </c>
      <c r="D32" s="8" t="n">
        <v>19.62</v>
      </c>
    </row>
    <row r="33">
      <c r="A33" s="7" t="n">
        <v>21</v>
      </c>
      <c r="B33" s="7" t="inlineStr">
        <is>
          <t>5 Ply Mailer 350x250x120 2col</t>
        </is>
      </c>
      <c r="C33" s="7" t="n">
        <v>36000</v>
      </c>
      <c r="D33" s="8" t="n">
        <v>40.7</v>
      </c>
    </row>
    <row r="34">
      <c r="A34" s="7" t="n">
        <v>22</v>
      </c>
      <c r="B34" s="7" t="inlineStr">
        <is>
          <t>3 Ply Sheet 1200x900 - 150gsm</t>
        </is>
      </c>
      <c r="C34" s="7" t="n">
        <v>18000</v>
      </c>
      <c r="D34" s="8" t="n">
        <v>41.23</v>
      </c>
    </row>
    <row r="35">
      <c r="A35" s="7" t="n">
        <v>23</v>
      </c>
      <c r="B35" s="7" t="inlineStr">
        <is>
          <t>5 Ply Sheet 1200x900 - 180gsm</t>
        </is>
      </c>
      <c r="C35" s="7" t="n">
        <v>24000</v>
      </c>
      <c r="D35" s="8" t="n">
        <v>46.42</v>
      </c>
    </row>
    <row r="36">
      <c r="A36" s="7" t="n">
        <v>24</v>
      </c>
      <c r="B36" s="7" t="inlineStr">
        <is>
          <t>5 Ply Sheet 1500x1000 - 180gsm</t>
        </is>
      </c>
      <c r="C36" s="7" t="n">
        <v>15000</v>
      </c>
      <c r="D36" s="8" t="n">
        <v>44.8</v>
      </c>
    </row>
    <row r="37">
      <c r="A37" s="7" t="n">
        <v>25</v>
      </c>
      <c r="B37" s="7" t="inlineStr">
        <is>
          <t>3 Ply Sheet 1000x800 - 140gsm</t>
        </is>
      </c>
      <c r="C37" s="7" t="n">
        <v>12000</v>
      </c>
      <c r="D37" s="8" t="n">
        <v>40.72</v>
      </c>
    </row>
    <row r="38">
      <c r="A38" s="7" t="n">
        <v>26</v>
      </c>
      <c r="B38" s="7" t="inlineStr">
        <is>
          <t>7 Ply Sheet 1200x1000 - 200gsm</t>
        </is>
      </c>
      <c r="C38" s="7" t="n">
        <v>9000</v>
      </c>
      <c r="D38" s="8" t="n">
        <v>47.02</v>
      </c>
    </row>
    <row r="39">
      <c r="A39" s="7" t="n">
        <v>27</v>
      </c>
      <c r="B39" s="7" t="inlineStr">
        <is>
          <t>Layer Pad 2Ply 1150x950</t>
        </is>
      </c>
      <c r="C39" s="7" t="n">
        <v>24000</v>
      </c>
      <c r="D39" s="8" t="n">
        <v>1340.64</v>
      </c>
    </row>
    <row r="40">
      <c r="A40" s="7" t="n">
        <v>28</v>
      </c>
      <c r="B40" s="7" t="inlineStr">
        <is>
          <t>Partition 450x350 4cell</t>
        </is>
      </c>
      <c r="C40" s="7" t="n">
        <v>120000</v>
      </c>
      <c r="D40" s="8" t="n">
        <v>8.789999999999999</v>
      </c>
    </row>
    <row r="41">
      <c r="A41" s="7" t="n">
        <v>29</v>
      </c>
      <c r="B41" s="7" t="inlineStr">
        <is>
          <t>Partition 500x400 6cell</t>
        </is>
      </c>
      <c r="C41" s="7" t="n">
        <v>84000</v>
      </c>
      <c r="D41" s="8" t="n">
        <v>11.23</v>
      </c>
    </row>
    <row r="42">
      <c r="A42" s="7" t="n">
        <v>30</v>
      </c>
      <c r="B42" s="7" t="inlineStr">
        <is>
          <t>Partition 450x350 cap+tray</t>
        </is>
      </c>
      <c r="C42" s="7" t="n">
        <v>60000</v>
      </c>
      <c r="D42" s="8" t="n">
        <v>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6" customWidth="1" min="4" max="4"/>
    <col width="7" customWidth="1" min="5" max="5"/>
    <col width="6" customWidth="1" min="6" max="6"/>
    <col width="12" customWidth="1" min="7" max="7"/>
    <col width="12" customWidth="1" min="8" max="8"/>
    <col width="12" customWidth="1" min="9" max="9"/>
    <col width="13" customWidth="1" min="10" max="10"/>
    <col width="11" customWidth="1" min="11" max="11"/>
    <col width="12" customWidth="1" min="12" max="12"/>
    <col width="28" customWidth="1" min="13" max="13"/>
  </cols>
  <sheetData>
    <row r="1">
      <c r="A1" s="9" t="inlineStr">
        <is>
          <t>Sr No</t>
        </is>
      </c>
      <c r="B1" s="9" t="inlineStr">
        <is>
          <t>Description</t>
        </is>
      </c>
      <c r="C1" s="9" t="inlineStr">
        <is>
          <t>Size (mm)</t>
        </is>
      </c>
      <c r="D1" s="9" t="inlineStr">
        <is>
          <t>Ply</t>
        </is>
      </c>
      <c r="E1" s="9" t="inlineStr">
        <is>
          <t>GSM</t>
        </is>
      </c>
      <c r="F1" s="9" t="inlineStr">
        <is>
          <t>BF</t>
        </is>
      </c>
      <c r="G1" s="9" t="inlineStr">
        <is>
          <t>UOM</t>
        </is>
      </c>
      <c r="H1" s="9" t="inlineStr">
        <is>
          <t>Annual Qty</t>
        </is>
      </c>
      <c r="I1" s="9" t="inlineStr">
        <is>
          <t>Board Cost</t>
        </is>
      </c>
      <c r="J1" s="9" t="inlineStr">
        <is>
          <t>Conv + Print</t>
        </is>
      </c>
      <c r="K1" s="9" t="inlineStr">
        <is>
          <t>Die Amort</t>
        </is>
      </c>
      <c r="L1" s="9" t="inlineStr">
        <is>
          <t>Net Rate</t>
        </is>
      </c>
      <c r="M1" s="9" t="inlineStr">
        <is>
          <t>Remarks</t>
        </is>
      </c>
    </row>
    <row r="2">
      <c r="A2" s="7" t="n">
        <v>1</v>
      </c>
      <c r="B2" s="7" t="inlineStr">
        <is>
          <t>3 Ply RSC 300x200x150</t>
        </is>
      </c>
      <c r="C2" s="7" t="inlineStr">
        <is>
          <t>300 x 200 x 150</t>
        </is>
      </c>
      <c r="D2" s="7" t="n">
        <v>3</v>
      </c>
      <c r="E2" s="7" t="n">
        <v>150</v>
      </c>
      <c r="F2" s="7" t="n">
        <v>16</v>
      </c>
      <c r="G2" s="7" t="inlineStr">
        <is>
          <t>Nos</t>
        </is>
      </c>
      <c r="H2" s="7" t="n">
        <v>240000</v>
      </c>
      <c r="I2" s="10" t="n">
        <v>8.1744</v>
      </c>
      <c r="J2" s="10" t="n">
        <v>2.3056</v>
      </c>
      <c r="K2" s="10" t="n"/>
      <c r="L2" s="11">
        <f>I2+J2+ROUND(K2,4)</f>
        <v/>
      </c>
      <c r="M2" s="7" t="n"/>
    </row>
    <row r="3">
      <c r="A3" s="7" t="n">
        <v>2</v>
      </c>
      <c r="B3" s="7" t="inlineStr">
        <is>
          <t>3 Ply RSC 350x250x200 1col</t>
        </is>
      </c>
      <c r="C3" s="7" t="inlineStr">
        <is>
          <t>350 x 250 x 200</t>
        </is>
      </c>
      <c r="D3" s="7" t="n">
        <v>3</v>
      </c>
      <c r="E3" s="7" t="n">
        <v>150</v>
      </c>
      <c r="F3" s="7" t="n">
        <v>16</v>
      </c>
      <c r="G3" s="7" t="inlineStr">
        <is>
          <t>Nos</t>
        </is>
      </c>
      <c r="H3" s="7" t="n">
        <v>180000</v>
      </c>
      <c r="I3" s="10" t="n">
        <v>12.4254</v>
      </c>
      <c r="J3" s="10" t="n">
        <v>3.5046</v>
      </c>
      <c r="K3" s="10" t="n"/>
      <c r="L3" s="11">
        <f>I3+J3+ROUND(K3,4)</f>
        <v/>
      </c>
      <c r="M3" s="7" t="n"/>
    </row>
    <row r="4">
      <c r="A4" s="7" t="n">
        <v>3</v>
      </c>
      <c r="B4" s="7" t="inlineStr">
        <is>
          <t>3 Ply RSC 250x200x120</t>
        </is>
      </c>
      <c r="C4" s="7" t="inlineStr">
        <is>
          <t>250 x 200 x 120</t>
        </is>
      </c>
      <c r="D4" s="7" t="n">
        <v>3</v>
      </c>
      <c r="E4" s="7" t="n">
        <v>140</v>
      </c>
      <c r="F4" s="7" t="n">
        <v>14</v>
      </c>
      <c r="G4" s="7" t="inlineStr">
        <is>
          <t>Nos</t>
        </is>
      </c>
      <c r="H4" s="7" t="n">
        <v>300000</v>
      </c>
      <c r="I4" s="10" t="n">
        <v>6.1932</v>
      </c>
      <c r="J4" s="10" t="n">
        <v>1.7468</v>
      </c>
      <c r="K4" s="10" t="n"/>
      <c r="L4" s="11">
        <f>I4+J4+ROUND(K4,4)</f>
        <v/>
      </c>
      <c r="M4" s="7" t="n"/>
    </row>
    <row r="5">
      <c r="A5" s="7" t="n">
        <v>4</v>
      </c>
      <c r="B5" s="7" t="inlineStr">
        <is>
          <t>3 Ply RSC 400x300x200 2col</t>
        </is>
      </c>
      <c r="C5" s="7" t="inlineStr">
        <is>
          <t>400 x 300 x 200</t>
        </is>
      </c>
      <c r="D5" s="7" t="n">
        <v>3</v>
      </c>
      <c r="E5" s="7" t="n">
        <v>150</v>
      </c>
      <c r="F5" s="7" t="n">
        <v>16</v>
      </c>
      <c r="G5" s="7" t="inlineStr">
        <is>
          <t>Nos</t>
        </is>
      </c>
      <c r="H5" s="7" t="n">
        <v>150000</v>
      </c>
      <c r="I5" s="10" t="n">
        <v>18.0492</v>
      </c>
      <c r="J5" s="10" t="n">
        <v>5.0908</v>
      </c>
      <c r="K5" s="10" t="n"/>
      <c r="L5" s="11">
        <f>I5+J5+ROUND(K5,4)</f>
        <v/>
      </c>
      <c r="M5" s="7" t="n"/>
    </row>
    <row r="6">
      <c r="A6" s="7" t="n">
        <v>5</v>
      </c>
      <c r="B6" s="7" t="inlineStr">
        <is>
          <t>3 Ply RSC 320x240x180</t>
        </is>
      </c>
      <c r="C6" s="7" t="inlineStr">
        <is>
          <t>320 x 240 x 180</t>
        </is>
      </c>
      <c r="D6" s="7" t="n">
        <v>3</v>
      </c>
      <c r="E6" s="7" t="n">
        <v>150</v>
      </c>
      <c r="F6" s="7" t="n">
        <v>16</v>
      </c>
      <c r="G6" s="7" t="inlineStr">
        <is>
          <t>Nos</t>
        </is>
      </c>
      <c r="H6" s="7" t="n">
        <v>96000</v>
      </c>
      <c r="I6" s="10" t="n">
        <v>10.0152</v>
      </c>
      <c r="J6" s="10" t="n">
        <v>2.8248</v>
      </c>
      <c r="K6" s="10" t="n"/>
      <c r="L6" s="11">
        <f>I6+J6+ROUND(K6,4)</f>
        <v/>
      </c>
      <c r="M6" s="7" t="n"/>
    </row>
    <row r="7">
      <c r="A7" s="7" t="n">
        <v>6</v>
      </c>
      <c r="B7" s="7" t="inlineStr">
        <is>
          <t>5 Ply RSC 450x350x300 2col</t>
        </is>
      </c>
      <c r="C7" s="7" t="inlineStr">
        <is>
          <t>450 x 350 x 300</t>
        </is>
      </c>
      <c r="D7" s="7" t="n">
        <v>5</v>
      </c>
      <c r="E7" s="7" t="n">
        <v>180</v>
      </c>
      <c r="F7" s="7" t="n">
        <v>22</v>
      </c>
      <c r="G7" s="7" t="inlineStr">
        <is>
          <t>Nos</t>
        </is>
      </c>
      <c r="H7" s="7" t="n">
        <v>120000</v>
      </c>
      <c r="I7" s="10" t="n">
        <v>45.318</v>
      </c>
      <c r="J7" s="10" t="n">
        <v>12.782</v>
      </c>
      <c r="K7" s="10" t="n"/>
      <c r="L7" s="11">
        <f>I7+J7+ROUND(K7,4)</f>
        <v/>
      </c>
      <c r="M7" s="7" t="n"/>
    </row>
    <row r="8" hidden="1">
      <c r="A8" s="7" t="n">
        <v>7</v>
      </c>
      <c r="B8" s="7" t="inlineStr">
        <is>
          <t>5 Ply RSC 500x400x350 2col</t>
        </is>
      </c>
      <c r="C8" s="7" t="inlineStr">
        <is>
          <t>500 x 400 x 350</t>
        </is>
      </c>
      <c r="D8" s="7" t="n">
        <v>5</v>
      </c>
      <c r="E8" s="7" t="n">
        <v>180</v>
      </c>
      <c r="F8" s="7" t="n">
        <v>22</v>
      </c>
      <c r="G8" s="7" t="inlineStr">
        <is>
          <t>Nos</t>
        </is>
      </c>
      <c r="H8" s="7" t="n">
        <v>84000</v>
      </c>
      <c r="I8" s="10" t="n">
        <v>58.2972</v>
      </c>
      <c r="J8" s="10" t="n">
        <v>16.4428</v>
      </c>
      <c r="K8" s="10" t="n"/>
      <c r="L8" s="11">
        <f>I8+J8+ROUND(K8,4)</f>
        <v/>
      </c>
      <c r="M8" s="7" t="n"/>
    </row>
    <row r="9">
      <c r="A9" s="7" t="n">
        <v>8</v>
      </c>
      <c r="B9" s="7" t="inlineStr">
        <is>
          <t>5 Ply RSC 400x300x250 1col</t>
        </is>
      </c>
      <c r="C9" s="7" t="inlineStr">
        <is>
          <t>400 x 300 x 250</t>
        </is>
      </c>
      <c r="D9" s="7" t="n">
        <v>5</v>
      </c>
      <c r="E9" s="7" t="n">
        <v>180</v>
      </c>
      <c r="F9" s="7" t="n">
        <v>20</v>
      </c>
      <c r="G9" s="7" t="inlineStr">
        <is>
          <t>Nos</t>
        </is>
      </c>
      <c r="H9" s="7" t="n">
        <v>132000</v>
      </c>
      <c r="I9" s="10" t="n">
        <v>31.2936</v>
      </c>
      <c r="J9" s="10" t="n">
        <v>8.8264</v>
      </c>
      <c r="K9" s="10" t="n"/>
      <c r="L9" s="11">
        <f>I9+J9+ROUND(K9,4)</f>
        <v/>
      </c>
      <c r="M9" s="7" t="n"/>
    </row>
    <row r="10">
      <c r="A10" s="7" t="n">
        <v>9</v>
      </c>
      <c r="B10" s="7" t="inlineStr">
        <is>
          <t>5 Ply RSC 600x400x400</t>
        </is>
      </c>
      <c r="C10" s="7" t="inlineStr">
        <is>
          <t>600 x 400 x 400</t>
        </is>
      </c>
      <c r="D10" s="7" t="n">
        <v>5</v>
      </c>
      <c r="E10" s="7" t="n">
        <v>180</v>
      </c>
      <c r="F10" s="7" t="n">
        <v>22</v>
      </c>
      <c r="G10" s="7" t="inlineStr">
        <is>
          <t>Nos</t>
        </is>
      </c>
      <c r="H10" s="7" t="n">
        <v>60000</v>
      </c>
      <c r="I10" s="10" t="n">
        <v>58.6014</v>
      </c>
      <c r="J10" s="10" t="n">
        <v>16.5286</v>
      </c>
      <c r="K10" s="10" t="n"/>
      <c r="L10" s="11">
        <f>I10+J10+ROUND(K10,4)</f>
        <v/>
      </c>
      <c r="M10" s="7" t="n"/>
    </row>
    <row r="11">
      <c r="A11" s="7" t="n">
        <v>10</v>
      </c>
      <c r="B11" s="7" t="inlineStr">
        <is>
          <t>5 Ply RSC 380x280x220</t>
        </is>
      </c>
      <c r="C11" s="7" t="inlineStr">
        <is>
          <t>380 x 280 x 220</t>
        </is>
      </c>
      <c r="D11" s="7" t="n">
        <v>5</v>
      </c>
      <c r="E11" s="7" t="n">
        <v>180</v>
      </c>
      <c r="F11" s="7" t="n">
        <v>20</v>
      </c>
      <c r="G11" s="7" t="inlineStr">
        <is>
          <t>Nos</t>
        </is>
      </c>
      <c r="H11" s="7" t="n">
        <v>108000</v>
      </c>
      <c r="I11" s="10" t="n">
        <v>25.8024</v>
      </c>
      <c r="J11" s="10" t="n">
        <v>7.2776</v>
      </c>
      <c r="K11" s="10" t="n"/>
      <c r="L11" s="11">
        <f>I11+J11+ROUND(K11,4)</f>
        <v/>
      </c>
      <c r="M11" s="7" t="n"/>
    </row>
    <row r="12">
      <c r="A12" s="7" t="n">
        <v>11</v>
      </c>
      <c r="B12" s="7" t="inlineStr">
        <is>
          <t>5 Ply RSC 550x380x320 2col</t>
        </is>
      </c>
      <c r="C12" s="7" t="inlineStr">
        <is>
          <t>550 x 380 x 320</t>
        </is>
      </c>
      <c r="D12" s="7" t="n">
        <v>5</v>
      </c>
      <c r="E12" s="7" t="n">
        <v>180</v>
      </c>
      <c r="F12" s="7" t="n">
        <v>22</v>
      </c>
      <c r="G12" s="7" t="inlineStr">
        <is>
          <t>Nos</t>
        </is>
      </c>
      <c r="H12" s="7" t="n">
        <v>72000</v>
      </c>
      <c r="I12" s="10" t="n">
        <v>55.6998</v>
      </c>
      <c r="J12" s="10" t="n">
        <v>15.7102</v>
      </c>
      <c r="K12" s="10" t="n"/>
      <c r="L12" s="11">
        <f>I12+J12+ROUND(K12,4)</f>
        <v/>
      </c>
      <c r="M12" s="7" t="n"/>
    </row>
    <row r="13">
      <c r="A13" s="7" t="n">
        <v>12</v>
      </c>
      <c r="B13" s="7" t="inlineStr">
        <is>
          <t>5 Ply RSC 300x300x300</t>
        </is>
      </c>
      <c r="C13" s="7" t="inlineStr">
        <is>
          <t>300 x 300 x 300</t>
        </is>
      </c>
      <c r="D13" s="7" t="n">
        <v>5</v>
      </c>
      <c r="E13" s="7" t="n">
        <v>180</v>
      </c>
      <c r="F13" s="7" t="n">
        <v>20</v>
      </c>
      <c r="G13" s="7" t="inlineStr">
        <is>
          <t>Nos</t>
        </is>
      </c>
      <c r="H13" s="7" t="n">
        <v>90000</v>
      </c>
      <c r="I13" s="10" t="n">
        <v>30.1158</v>
      </c>
      <c r="J13" s="10" t="n">
        <v>8.494199999999999</v>
      </c>
      <c r="K13" s="10" t="n"/>
      <c r="L13" s="11">
        <f>I13+J13+ROUND(K13,4)</f>
        <v/>
      </c>
      <c r="M13" s="7" t="n"/>
    </row>
    <row r="14">
      <c r="A14" s="7" t="n">
        <v>13</v>
      </c>
      <c r="B14" s="7" t="inlineStr">
        <is>
          <t>5 Ply RSC 480x320x280 1col</t>
        </is>
      </c>
      <c r="C14" s="7" t="inlineStr">
        <is>
          <t>480 x 320 x 280</t>
        </is>
      </c>
      <c r="D14" s="7" t="n">
        <v>5</v>
      </c>
      <c r="E14" s="7" t="n">
        <v>180</v>
      </c>
      <c r="F14" s="7" t="n">
        <v>22</v>
      </c>
      <c r="G14" s="7" t="inlineStr">
        <is>
          <t>Nos</t>
        </is>
      </c>
      <c r="H14" s="7" t="n">
        <v>66000</v>
      </c>
      <c r="I14" s="10" t="n">
        <v>39.1638</v>
      </c>
      <c r="J14" s="10" t="n">
        <v>11.0462</v>
      </c>
      <c r="K14" s="10" t="n"/>
      <c r="L14" s="11">
        <f>I14+J14+ROUND(K14,4)</f>
        <v/>
      </c>
      <c r="M14" s="7" t="n"/>
    </row>
    <row r="15">
      <c r="A15" s="7" t="n">
        <v>14</v>
      </c>
      <c r="B15" s="7" t="inlineStr">
        <is>
          <t>5 Ply RSC 420x320x260 2col</t>
        </is>
      </c>
      <c r="C15" s="7" t="inlineStr">
        <is>
          <t>420 x 320 x 260</t>
        </is>
      </c>
      <c r="D15" s="7" t="n">
        <v>5</v>
      </c>
      <c r="E15" s="7" t="n">
        <v>180</v>
      </c>
      <c r="F15" s="7" t="n">
        <v>22</v>
      </c>
      <c r="G15" s="7" t="inlineStr">
        <is>
          <t>Nos</t>
        </is>
      </c>
      <c r="H15" s="7" t="n">
        <v>144000</v>
      </c>
      <c r="I15" s="10" t="n">
        <v>36.5274</v>
      </c>
      <c r="J15" s="10" t="n">
        <v>10.3026</v>
      </c>
      <c r="K15" s="10" t="n"/>
      <c r="L15" s="11">
        <f>I15+J15+ROUND(K15,4)</f>
        <v/>
      </c>
      <c r="M15" s="7" t="n"/>
    </row>
    <row r="16">
      <c r="A16" s="7" t="n">
        <v>15</v>
      </c>
      <c r="B16" s="7" t="inlineStr">
        <is>
          <t>5 Ply RSC 650x450x450</t>
        </is>
      </c>
      <c r="C16" s="7" t="inlineStr">
        <is>
          <t>650 x 450 x 450</t>
        </is>
      </c>
      <c r="D16" s="7" t="n">
        <v>5</v>
      </c>
      <c r="E16" s="7" t="n">
        <v>200</v>
      </c>
      <c r="F16" s="7" t="n">
        <v>22</v>
      </c>
      <c r="G16" s="7" t="inlineStr">
        <is>
          <t>Nos</t>
        </is>
      </c>
      <c r="H16" s="7" t="n">
        <v>48000</v>
      </c>
      <c r="I16" s="10" t="n">
        <v>84.9498</v>
      </c>
      <c r="J16" s="10" t="n">
        <v>23.9602</v>
      </c>
      <c r="K16" s="10" t="n"/>
      <c r="L16" s="11">
        <f>I16+J16+ROUND(K16,4)</f>
        <v/>
      </c>
      <c r="M16" s="7" t="n"/>
    </row>
    <row r="17">
      <c r="A17" s="7" t="n">
        <v>16</v>
      </c>
      <c r="B17" s="7" t="inlineStr">
        <is>
          <t>7 Ply RSC 600x400x400 2col</t>
        </is>
      </c>
      <c r="C17" s="7" t="inlineStr">
        <is>
          <t>600 x 400 x 400</t>
        </is>
      </c>
      <c r="D17" s="7" t="n">
        <v>7</v>
      </c>
      <c r="E17" s="7" t="n">
        <v>200</v>
      </c>
      <c r="F17" s="7" t="n">
        <v>24</v>
      </c>
      <c r="G17" s="7" t="inlineStr">
        <is>
          <t>Nos</t>
        </is>
      </c>
      <c r="H17" s="7" t="n">
        <v>36000</v>
      </c>
      <c r="I17" s="10" t="n">
        <v>108.9816</v>
      </c>
      <c r="J17" s="10" t="n">
        <v>30.7384</v>
      </c>
      <c r="K17" s="10" t="n"/>
      <c r="L17" s="11">
        <f>I17+J17+ROUND(K17,4)</f>
        <v/>
      </c>
      <c r="M17" s="7" t="n"/>
    </row>
    <row r="18">
      <c r="A18" s="7" t="n">
        <v>17</v>
      </c>
      <c r="B18" s="7" t="inlineStr">
        <is>
          <t>7 Ply RSC 700x500x450 1col</t>
        </is>
      </c>
      <c r="C18" s="7" t="inlineStr">
        <is>
          <t>700 x 500 x 450</t>
        </is>
      </c>
      <c r="D18" s="7" t="n">
        <v>7</v>
      </c>
      <c r="E18" s="7" t="n">
        <v>200</v>
      </c>
      <c r="F18" s="7" t="n">
        <v>24</v>
      </c>
      <c r="G18" s="7" t="inlineStr">
        <is>
          <t>Nos</t>
        </is>
      </c>
      <c r="H18" s="7" t="n">
        <v>24000</v>
      </c>
      <c r="I18" s="10" t="n">
        <v>146.8506</v>
      </c>
      <c r="J18" s="10" t="n">
        <v>41.4194</v>
      </c>
      <c r="K18" s="10" t="n"/>
      <c r="L18" s="11">
        <f>I18+J18+ROUND(K18,4)</f>
        <v/>
      </c>
      <c r="M18" s="7" t="n"/>
    </row>
    <row r="19" hidden="1">
      <c r="A19" s="7" t="n">
        <v>18</v>
      </c>
      <c r="B19" s="7" t="inlineStr">
        <is>
          <t>7 Ply RSC 550x450x400</t>
        </is>
      </c>
      <c r="C19" s="7" t="inlineStr">
        <is>
          <t>550 x 450 x 400</t>
        </is>
      </c>
      <c r="D19" s="7" t="n">
        <v>7</v>
      </c>
      <c r="E19" s="7" t="n">
        <v>200</v>
      </c>
      <c r="F19" s="7" t="n">
        <v>24</v>
      </c>
      <c r="G19" s="7" t="inlineStr">
        <is>
          <t>Nos</t>
        </is>
      </c>
      <c r="H19" s="7" t="n">
        <v>30000</v>
      </c>
      <c r="I19" s="10" t="n">
        <v>111.3684</v>
      </c>
      <c r="J19" s="10" t="n">
        <v>31.4116</v>
      </c>
      <c r="K19" s="10" t="n"/>
      <c r="L19" s="11">
        <f>I19+J19+ROUND(K19,4)</f>
        <v/>
      </c>
      <c r="M19" s="7" t="n"/>
    </row>
    <row r="20">
      <c r="A20" s="7" t="n">
        <v>19</v>
      </c>
      <c r="B20" s="7" t="inlineStr">
        <is>
          <t>3 Ply Mailer 250x180x80 2col</t>
        </is>
      </c>
      <c r="C20" s="7" t="inlineStr">
        <is>
          <t>250 x 180 x 80</t>
        </is>
      </c>
      <c r="D20" s="7" t="n">
        <v>3</v>
      </c>
      <c r="E20" s="7" t="n">
        <v>150</v>
      </c>
      <c r="F20" s="7" t="n">
        <v>16</v>
      </c>
      <c r="G20" s="7" t="inlineStr">
        <is>
          <t>Nos</t>
        </is>
      </c>
      <c r="H20" s="7" t="n">
        <v>60000</v>
      </c>
      <c r="I20" s="10" t="n">
        <v>12.6319</v>
      </c>
      <c r="J20" s="10" t="n">
        <v>3.6498</v>
      </c>
      <c r="K20" s="10" t="n">
        <v>0.3083</v>
      </c>
      <c r="L20" s="11">
        <f>I20+J20+ROUND(K20,4)</f>
        <v/>
      </c>
      <c r="M20" s="7" t="inlineStr">
        <is>
          <t>Die cost included in rate</t>
        </is>
      </c>
    </row>
    <row r="21">
      <c r="A21" s="7" t="n">
        <v>20</v>
      </c>
      <c r="B21" s="7" t="inlineStr">
        <is>
          <t>3 Ply Mailer 300x220x100 2col</t>
        </is>
      </c>
      <c r="C21" s="7" t="inlineStr">
        <is>
          <t>300 x 220 x 100</t>
        </is>
      </c>
      <c r="D21" s="7" t="n">
        <v>3</v>
      </c>
      <c r="E21" s="7" t="n">
        <v>150</v>
      </c>
      <c r="F21" s="7" t="n">
        <v>16</v>
      </c>
      <c r="G21" s="7" t="inlineStr">
        <is>
          <t>Nos</t>
        </is>
      </c>
      <c r="H21" s="7" t="n">
        <v>45000</v>
      </c>
      <c r="I21" s="10" t="n">
        <v>15.3683</v>
      </c>
      <c r="J21" s="10" t="n">
        <v>4.4506</v>
      </c>
      <c r="K21" s="10" t="n">
        <v>0.4111</v>
      </c>
      <c r="L21" s="11">
        <f>I21+J21+ROUND(K21,4)</f>
        <v/>
      </c>
      <c r="M21" s="7" t="inlineStr">
        <is>
          <t>Die cost included in rate</t>
        </is>
      </c>
    </row>
    <row r="22">
      <c r="A22" s="7" t="n">
        <v>21</v>
      </c>
      <c r="B22" s="7" t="inlineStr">
        <is>
          <t>5 Ply Mailer 350x250x120 2col</t>
        </is>
      </c>
      <c r="C22" s="7" t="inlineStr">
        <is>
          <t>350 x 250 x 120</t>
        </is>
      </c>
      <c r="D22" s="7" t="n">
        <v>5</v>
      </c>
      <c r="E22" s="7" t="n">
        <v>180</v>
      </c>
      <c r="F22" s="7" t="n">
        <v>20</v>
      </c>
      <c r="G22" s="7" t="inlineStr">
        <is>
          <t>Nos</t>
        </is>
      </c>
      <c r="H22" s="7" t="n">
        <v>36000</v>
      </c>
      <c r="I22" s="10" t="n">
        <v>32.2149</v>
      </c>
      <c r="J22" s="10" t="n">
        <v>9.231199999999999</v>
      </c>
      <c r="K22" s="10" t="n">
        <v>0.5139</v>
      </c>
      <c r="L22" s="11">
        <f>I22+J22+ROUND(K22,4)</f>
        <v/>
      </c>
      <c r="M22" s="7" t="inlineStr">
        <is>
          <t>Die cost included in rate</t>
        </is>
      </c>
    </row>
    <row r="23">
      <c r="A23" s="7" t="n">
        <v>22</v>
      </c>
      <c r="B23" s="7" t="inlineStr">
        <is>
          <t>3 Ply Sheet 1200x900 - 150gsm</t>
        </is>
      </c>
      <c r="C23" s="7" t="inlineStr">
        <is>
          <t>1200 x 900</t>
        </is>
      </c>
      <c r="D23" s="7" t="n">
        <v>3</v>
      </c>
      <c r="E23" s="7" t="n">
        <v>150</v>
      </c>
      <c r="F23" s="7" t="n">
        <v>16</v>
      </c>
      <c r="G23" s="7" t="inlineStr">
        <is>
          <t>Kgs</t>
        </is>
      </c>
      <c r="H23" s="7" t="n">
        <v>18000</v>
      </c>
      <c r="I23" s="10" t="n">
        <v>33.1578</v>
      </c>
      <c r="J23" s="10" t="n">
        <v>9.3522</v>
      </c>
      <c r="K23" s="10" t="n"/>
      <c r="L23" s="11">
        <f>I23+J23+ROUND(K23,4)</f>
        <v/>
      </c>
      <c r="M23" s="7" t="n"/>
    </row>
    <row r="24">
      <c r="A24" s="7" t="n">
        <v>23</v>
      </c>
      <c r="B24" s="7" t="inlineStr">
        <is>
          <t>5 Ply Sheet 1200x900 - 180gsm</t>
        </is>
      </c>
      <c r="C24" s="7" t="inlineStr">
        <is>
          <t>1200 x 900</t>
        </is>
      </c>
      <c r="D24" s="7" t="n">
        <v>5</v>
      </c>
      <c r="E24" s="7" t="n">
        <v>180</v>
      </c>
      <c r="F24" s="7" t="n">
        <v>20</v>
      </c>
      <c r="G24" s="7" t="inlineStr">
        <is>
          <t>Kgs</t>
        </is>
      </c>
      <c r="H24" s="7" t="n">
        <v>24000</v>
      </c>
      <c r="I24" s="10" t="n">
        <v>37.3308</v>
      </c>
      <c r="J24" s="10" t="n">
        <v>10.5292</v>
      </c>
      <c r="K24" s="10" t="n"/>
      <c r="L24" s="11">
        <f>I24+J24+ROUND(K24,4)</f>
        <v/>
      </c>
      <c r="M24" s="7" t="n"/>
    </row>
    <row r="25" hidden="1">
      <c r="A25" s="7" t="n">
        <v>24</v>
      </c>
      <c r="B25" s="7" t="inlineStr">
        <is>
          <t>5 Ply Sheet 1500x1000 - 180gsm</t>
        </is>
      </c>
      <c r="C25" s="7" t="inlineStr">
        <is>
          <t>1500 x 1000</t>
        </is>
      </c>
      <c r="D25" s="7" t="n">
        <v>5</v>
      </c>
      <c r="E25" s="7" t="n">
        <v>180</v>
      </c>
      <c r="F25" s="7" t="n">
        <v>22</v>
      </c>
      <c r="G25" s="7" t="inlineStr">
        <is>
          <t>Kgs</t>
        </is>
      </c>
      <c r="H25" s="7" t="n">
        <v>15000</v>
      </c>
      <c r="I25" s="10" t="n">
        <v>36.0282</v>
      </c>
      <c r="J25" s="10" t="n">
        <v>10.1618</v>
      </c>
      <c r="K25" s="10" t="n"/>
      <c r="L25" s="11">
        <f>I25+J25+ROUND(K25,4)</f>
        <v/>
      </c>
      <c r="M25" s="7" t="n"/>
    </row>
    <row r="26">
      <c r="A26" s="7" t="n">
        <v>25</v>
      </c>
      <c r="B26" s="7" t="inlineStr">
        <is>
          <t>3 Ply Sheet 1000x800 - 140gsm</t>
        </is>
      </c>
      <c r="C26" s="7" t="inlineStr">
        <is>
          <t>1000 x 800</t>
        </is>
      </c>
      <c r="D26" s="7" t="n">
        <v>3</v>
      </c>
      <c r="E26" s="7" t="n">
        <v>140</v>
      </c>
      <c r="F26" s="7" t="n">
        <v>14</v>
      </c>
      <c r="G26" s="7" t="inlineStr">
        <is>
          <t>Kgs</t>
        </is>
      </c>
      <c r="H26" s="7" t="n">
        <v>12000</v>
      </c>
      <c r="I26" s="10" t="n">
        <v>32.7444</v>
      </c>
      <c r="J26" s="10" t="n">
        <v>9.2356</v>
      </c>
      <c r="K26" s="10" t="n"/>
      <c r="L26" s="11">
        <f>I26+J26+ROUND(K26,4)</f>
        <v/>
      </c>
      <c r="M26" s="7" t="n"/>
    </row>
    <row r="27">
      <c r="A27" s="7" t="n">
        <v>26</v>
      </c>
      <c r="B27" s="7" t="inlineStr">
        <is>
          <t>7 Ply Sheet 1200x1000 - 200gsm</t>
        </is>
      </c>
      <c r="C27" s="7" t="inlineStr">
        <is>
          <t>1200 x 1000</t>
        </is>
      </c>
      <c r="D27" s="7" t="n">
        <v>7</v>
      </c>
      <c r="E27" s="7" t="n">
        <v>200</v>
      </c>
      <c r="F27" s="7" t="n">
        <v>24</v>
      </c>
      <c r="G27" s="7" t="inlineStr">
        <is>
          <t>Kgs</t>
        </is>
      </c>
      <c r="H27" s="7" t="n">
        <v>9000</v>
      </c>
      <c r="I27" s="10" t="n">
        <v>37.8066</v>
      </c>
      <c r="J27" s="10" t="n">
        <v>10.6634</v>
      </c>
      <c r="K27" s="10" t="n"/>
      <c r="L27" s="11">
        <f>I27+J27+ROUND(K27,4)</f>
        <v/>
      </c>
      <c r="M27" s="7" t="n"/>
    </row>
    <row r="28">
      <c r="A28" s="7" t="n">
        <v>27</v>
      </c>
      <c r="B28" s="7" t="inlineStr">
        <is>
          <t>Layer Pad 2Ply 1150x950</t>
        </is>
      </c>
      <c r="C28" s="7" t="inlineStr">
        <is>
          <t>1150 x 950</t>
        </is>
      </c>
      <c r="D28" s="7" t="n">
        <v>2</v>
      </c>
      <c r="E28" s="7" t="n">
        <v>140</v>
      </c>
      <c r="F28" s="7" t="n"/>
      <c r="G28" s="7" t="inlineStr">
        <is>
          <t>Per 100 Nos</t>
        </is>
      </c>
      <c r="H28" s="7" t="n">
        <v>24000</v>
      </c>
      <c r="I28" s="10" t="n">
        <v>1078.038</v>
      </c>
      <c r="J28" s="10" t="n">
        <v>304.062</v>
      </c>
      <c r="K28" s="10" t="n"/>
      <c r="L28" s="11">
        <f>I28+J28+ROUND(K28,4)</f>
        <v/>
      </c>
      <c r="M28" s="7" t="n"/>
    </row>
    <row r="29">
      <c r="A29" s="7" t="n">
        <v>28</v>
      </c>
      <c r="B29" s="7" t="inlineStr">
        <is>
          <t>Partition 450x350 4cell</t>
        </is>
      </c>
      <c r="C29" s="7" t="inlineStr">
        <is>
          <t>450 x 350</t>
        </is>
      </c>
      <c r="D29" s="7" t="n">
        <v>3</v>
      </c>
      <c r="E29" s="7" t="n">
        <v>150</v>
      </c>
      <c r="F29" s="7" t="n"/>
      <c r="G29" s="7" t="inlineStr">
        <is>
          <t>Set</t>
        </is>
      </c>
      <c r="H29" s="7" t="n">
        <v>120000</v>
      </c>
      <c r="I29" s="10" t="n">
        <v>7.0668</v>
      </c>
      <c r="J29" s="10" t="n">
        <v>1.9932</v>
      </c>
      <c r="K29" s="10" t="n"/>
      <c r="L29" s="11">
        <f>I29+J29+ROUND(K29,4)</f>
        <v/>
      </c>
      <c r="M29" s="7" t="n"/>
    </row>
    <row r="30">
      <c r="A30" s="7" t="n">
        <v>29</v>
      </c>
      <c r="B30" s="7" t="inlineStr">
        <is>
          <t>Partition 500x400 6cell</t>
        </is>
      </c>
      <c r="C30" s="7" t="inlineStr">
        <is>
          <t>500 x 400</t>
        </is>
      </c>
      <c r="D30" s="7" t="n">
        <v>3</v>
      </c>
      <c r="E30" s="7" t="n">
        <v>150</v>
      </c>
      <c r="F30" s="7" t="n"/>
      <c r="G30" s="7" t="inlineStr">
        <is>
          <t>Set</t>
        </is>
      </c>
      <c r="H30" s="7" t="n">
        <v>84000</v>
      </c>
      <c r="I30" s="10" t="n">
        <v>9.032400000000001</v>
      </c>
      <c r="J30" s="10" t="n">
        <v>2.5476</v>
      </c>
      <c r="K30" s="10" t="n"/>
      <c r="L30" s="11">
        <f>I30+J30+ROUND(K30,4)</f>
        <v/>
      </c>
      <c r="M30" s="7" t="n"/>
    </row>
    <row r="31">
      <c r="A31" s="7" t="n">
        <v>30</v>
      </c>
      <c r="B31" s="7" t="inlineStr">
        <is>
          <t>Partition 450x350 cap+tray</t>
        </is>
      </c>
      <c r="C31" s="7" t="inlineStr">
        <is>
          <t>450 x 350</t>
        </is>
      </c>
      <c r="D31" s="7" t="n">
        <v>3</v>
      </c>
      <c r="E31" s="7" t="n">
        <v>150</v>
      </c>
      <c r="F31" s="7" t="n"/>
      <c r="G31" s="7" t="inlineStr">
        <is>
          <t>Set</t>
        </is>
      </c>
      <c r="H31" s="7" t="n">
        <v>60000</v>
      </c>
      <c r="I31" s="10" t="n">
        <v>6.5754</v>
      </c>
      <c r="J31" s="10" t="n">
        <v>1.8546</v>
      </c>
      <c r="K31" s="10" t="n"/>
      <c r="L31" s="11">
        <f>I31+J31+ROUND(K31,4)</f>
        <v/>
      </c>
      <c r="M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2026-09-10T09:08:39Z</dcterms:created>
  <dcterms:modified xmlns:dcterms="http://purl.org/dc/terms/" xmlns:xsi="http://www.w3.org/2001/XMLSchema-instance" xsi:type="dcterms:W3CDTF">2026-09-10T09:08:39Z</dcterms:modified>
</cp:coreProperties>
</file>